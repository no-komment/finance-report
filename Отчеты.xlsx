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Danya\Desktop\Grass\"/>
    </mc:Choice>
  </mc:AlternateContent>
  <xr:revisionPtr revIDLastSave="0" documentId="13_ncr:1_{5A5783C0-0B4C-4810-890F-CBC18D26CB53}" xr6:coauthVersionLast="47" xr6:coauthVersionMax="47" xr10:uidLastSave="{00000000-0000-0000-0000-000000000000}"/>
  <bookViews>
    <workbookView xWindow="-120" yWindow="-120" windowWidth="29040" windowHeight="15720" tabRatio="520" xr2:uid="{00000000-000D-0000-FFFF-FFFF00000000}"/>
  </bookViews>
  <sheets>
    <sheet name="Август 2026" sheetId="46" r:id="rId1"/>
    <sheet name="Июль 2026" sheetId="40" r:id="rId2"/>
    <sheet name="Виды трат" sheetId="4" r:id="rId3"/>
  </sheets>
  <definedNames>
    <definedName name="_xlnm._FilterDatabase" localSheetId="0" hidden="1">'Август 2026'!$B$1:$F$60</definedName>
    <definedName name="_xlnm._FilterDatabase" localSheetId="2" hidden="1">'Виды трат'!$A$1:$A$14</definedName>
    <definedName name="_xlnm._FilterDatabase" localSheetId="1" hidden="1">'Июль 2026'!$B$1:$F$60</definedName>
    <definedName name="TypeTrat">'Виды трат'!$A$1:$A$14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46" l="1"/>
  <c r="E35" i="46"/>
  <c r="E20" i="46"/>
  <c r="E17" i="46"/>
  <c r="E15" i="46"/>
  <c r="E10" i="46"/>
  <c r="E3" i="46"/>
  <c r="E130" i="46"/>
  <c r="E129" i="46"/>
  <c r="E128" i="46"/>
  <c r="E131" i="46"/>
  <c r="E133" i="46" s="1"/>
  <c r="E43" i="40"/>
  <c r="E130" i="40"/>
  <c r="E34" i="40"/>
  <c r="E131" i="40" s="1"/>
  <c r="E33" i="40"/>
  <c r="E24" i="40"/>
  <c r="E14" i="40"/>
  <c r="E4" i="40"/>
  <c r="E3" i="40"/>
  <c r="E129" i="40"/>
  <c r="E128" i="40"/>
  <c r="E133" i="40" l="1"/>
</calcChain>
</file>

<file path=xl/sharedStrings.xml><?xml version="1.0" encoding="utf-8"?>
<sst xmlns="http://schemas.openxmlformats.org/spreadsheetml/2006/main" count="307" uniqueCount="73">
  <si>
    <t>Такси</t>
  </si>
  <si>
    <t>Одежда</t>
  </si>
  <si>
    <t>Инвестиции</t>
  </si>
  <si>
    <t>Вид траты</t>
  </si>
  <si>
    <t>Учеба</t>
  </si>
  <si>
    <t>Еда</t>
  </si>
  <si>
    <t>Развлечение</t>
  </si>
  <si>
    <t>Описание траты</t>
  </si>
  <si>
    <t>Сумма</t>
  </si>
  <si>
    <t>Дата</t>
  </si>
  <si>
    <t>Здоровье</t>
  </si>
  <si>
    <t>Прочее</t>
  </si>
  <si>
    <t>Бытовуха</t>
  </si>
  <si>
    <t>Гигиена</t>
  </si>
  <si>
    <t>Дом</t>
  </si>
  <si>
    <t>КФС</t>
  </si>
  <si>
    <t>Yota</t>
  </si>
  <si>
    <t>Итого</t>
  </si>
  <si>
    <t>Шаркан</t>
  </si>
  <si>
    <t>Автобус</t>
  </si>
  <si>
    <t>Техновек</t>
  </si>
  <si>
    <t>Кофе</t>
  </si>
  <si>
    <t>ЖКХ</t>
  </si>
  <si>
    <t>За квартиру</t>
  </si>
  <si>
    <t>Заработок (инв. + зп)</t>
  </si>
  <si>
    <t>Иж</t>
  </si>
  <si>
    <t>Втк</t>
  </si>
  <si>
    <t>Непостоянные</t>
  </si>
  <si>
    <t>Анализы</t>
  </si>
  <si>
    <t>Носки</t>
  </si>
  <si>
    <t>Ростелеком</t>
  </si>
  <si>
    <t>Вода</t>
  </si>
  <si>
    <t xml:space="preserve">инв - только купоны и доход по вкладам, зп - работа + доп работа </t>
  </si>
  <si>
    <t>Подписки</t>
  </si>
  <si>
    <t>Т Про</t>
  </si>
  <si>
    <t xml:space="preserve"> </t>
  </si>
  <si>
    <t>Лекарство</t>
  </si>
  <si>
    <t>Насте</t>
  </si>
  <si>
    <t>Тип</t>
  </si>
  <si>
    <t>Личный</t>
  </si>
  <si>
    <t>Семейный</t>
  </si>
  <si>
    <t>Личные</t>
  </si>
  <si>
    <t>Семейные</t>
  </si>
  <si>
    <t>Общие</t>
  </si>
  <si>
    <t>Зубы Насте</t>
  </si>
  <si>
    <t>Дядя Арчи</t>
  </si>
  <si>
    <t>По Ижу</t>
  </si>
  <si>
    <t>Суши</t>
  </si>
  <si>
    <t>Озон</t>
  </si>
  <si>
    <t>Чат гпт</t>
  </si>
  <si>
    <t>Профи ру</t>
  </si>
  <si>
    <t xml:space="preserve"> +100К на свадьбу</t>
  </si>
  <si>
    <t>На альфу Насте</t>
  </si>
  <si>
    <t>Зал</t>
  </si>
  <si>
    <t>Кросы и штаны</t>
  </si>
  <si>
    <t>ПО Ижу</t>
  </si>
  <si>
    <t>Джинсы Насте</t>
  </si>
  <si>
    <t>Жена</t>
  </si>
  <si>
    <t>Названия строк</t>
  </si>
  <si>
    <t>Общий итог</t>
  </si>
  <si>
    <t>Сумма по полю Сумма</t>
  </si>
  <si>
    <t>(пусто)</t>
  </si>
  <si>
    <t>Профи</t>
  </si>
  <si>
    <t>Завтрак</t>
  </si>
  <si>
    <t>Кепка</t>
  </si>
  <si>
    <t>Насте на Т</t>
  </si>
  <si>
    <t>Насте на альфу</t>
  </si>
  <si>
    <t>Ускоритель</t>
  </si>
  <si>
    <t>Держатель тела</t>
  </si>
  <si>
    <t>Доставка</t>
  </si>
  <si>
    <t>Маме с аплик</t>
  </si>
  <si>
    <t>Загранник Насте</t>
  </si>
  <si>
    <t>Зарядка для пылес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</si>
</sst>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44" fontId="0" fillId="0" borderId="0" xfId="0" applyNumberFormat="1"/>
    <xf numFmtId="44" fontId="3" fillId="0" borderId="0" xfId="0" applyNumberFormat="1" applyFont="1"/>
    <xf numFmtId="44" fontId="5" fillId="0" borderId="0" xfId="0" applyNumberFormat="1" applyFont="1"/>
    <xf numFmtId="0" fontId="4" fillId="0" borderId="0" xfId="0" applyFont="1"/>
    <xf numFmtId="44" fontId="4" fillId="0" borderId="0" xfId="0" applyNumberFormat="1" applyFont="1"/>
    <xf numFmtId="44" fontId="2" fillId="0" borderId="0" xfId="0" applyNumberFormat="1" applyFont="1"/>
    <xf numFmtId="44" fontId="4" fillId="2" borderId="0" xfId="0" applyNumberFormat="1" applyFont="1" applyFill="1"/>
    <xf numFmtId="44" fontId="1" fillId="0" borderId="0" xfId="0" applyNumberFormat="1" applyFont="1"/>
    <xf numFmtId="0" fontId="6" fillId="0" borderId="0" xfId="0" applyFont="1"/>
    <xf numFmtId="44" fontId="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Итоги по Видам трат</a:t>
            </a:r>
          </a:p>
        </c:rich>
      </c:tx>
      <c:layout>
        <c:manualLayout>
          <c:xMode val="edge"/>
          <c:yMode val="edge"/>
          <c:x val="0.67561120939177755"/>
          <c:y val="4.6368282093226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6782426193890563E-2"/>
          <c:y val="0.21446995026343538"/>
          <c:w val="0.45366386470413667"/>
          <c:h val="0.64030049954153934"/>
        </c:manualLayout>
      </c:layout>
      <c:pieChart>
        <c:varyColors val="1"/>
        <c:ser>
          <c:idx val="0"/>
          <c:order val="0"/>
          <c:tx>
            <c:v>Итог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F0-4090-A4A5-0E5D5EF05F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F0-4090-A4A5-0E5D5EF05F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F0-4090-A4A5-0E5D5EF05F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F0-4090-A4A5-0E5D5EF05F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F0-4090-A4A5-0E5D5EF05F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F0-4090-A4A5-0E5D5EF05F6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8F0-4090-A4A5-0E5D5EF05F6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8F0-4090-A4A5-0E5D5EF05F6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0B7-4C0C-AA2B-99AAAE3060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0B7-4C0C-AA2B-99AAAE30608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907-472A-BC2F-45E97243A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1"/>
              <c:pt idx="0">
                <c:v>Бытовуха</c:v>
              </c:pt>
              <c:pt idx="1">
                <c:v>Еда</c:v>
              </c:pt>
              <c:pt idx="2">
                <c:v>ЖКХ</c:v>
              </c:pt>
              <c:pt idx="3">
                <c:v>Здоровье</c:v>
              </c:pt>
              <c:pt idx="4">
                <c:v>Одежда</c:v>
              </c:pt>
              <c:pt idx="5">
                <c:v>Подписки</c:v>
              </c:pt>
              <c:pt idx="6">
                <c:v>Такси</c:v>
              </c:pt>
              <c:pt idx="7">
                <c:v>(пусто)</c:v>
              </c:pt>
              <c:pt idx="8">
                <c:v>Учеба</c:v>
              </c:pt>
              <c:pt idx="9">
                <c:v>Прочее</c:v>
              </c:pt>
              <c:pt idx="10">
                <c:v>Развлечение</c:v>
              </c:pt>
            </c:strLit>
          </c:cat>
          <c:val>
            <c:numLit>
              <c:formatCode>General</c:formatCode>
              <c:ptCount val="11"/>
              <c:pt idx="0">
                <c:v>167</c:v>
              </c:pt>
              <c:pt idx="1">
                <c:v>26188</c:v>
              </c:pt>
              <c:pt idx="2">
                <c:v>25000</c:v>
              </c:pt>
              <c:pt idx="3">
                <c:v>27600</c:v>
              </c:pt>
              <c:pt idx="4">
                <c:v>3190</c:v>
              </c:pt>
              <c:pt idx="5">
                <c:v>3921</c:v>
              </c:pt>
              <c:pt idx="6">
                <c:v>2515</c:v>
              </c:pt>
              <c:pt idx="7">
                <c:v>0</c:v>
              </c:pt>
              <c:pt idx="8">
                <c:v>10000</c:v>
              </c:pt>
              <c:pt idx="9">
                <c:v>1420</c:v>
              </c:pt>
              <c:pt idx="10">
                <c:v>195</c:v>
              </c:pt>
            </c:numLit>
          </c:val>
          <c:extLst>
            <c:ext xmlns:c16="http://schemas.microsoft.com/office/drawing/2014/chart" uri="{C3380CC4-5D6E-409C-BE32-E72D297353CC}">
              <c16:uniqueId val="{00000000-6524-423E-8B84-5E4540E8F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44215022752536"/>
          <c:y val="0.34416471162671075"/>
          <c:w val="0.1301617706440541"/>
          <c:h val="0.546822173395180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5130257998325738E-2"/>
          <c:y val="0.18477770304706823"/>
          <c:w val="0.34892967515751178"/>
          <c:h val="0.7627976645858261"/>
        </c:manualLayout>
      </c:layout>
      <c:pieChart>
        <c:varyColors val="1"/>
        <c:ser>
          <c:idx val="0"/>
          <c:order val="0"/>
          <c:tx>
            <c:v>Итог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58-48A5-9544-C615ADEA4E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D58-48A5-9544-C615ADEA4E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D58-48A5-9544-C615ADEA4E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14-4EC2-BAC9-432F790C67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Жена</c:v>
              </c:pt>
              <c:pt idx="1">
                <c:v>Личный</c:v>
              </c:pt>
              <c:pt idx="2">
                <c:v>Семейный</c:v>
              </c:pt>
              <c:pt idx="3">
                <c:v>(пусто)</c:v>
              </c:pt>
            </c:strLit>
          </c:cat>
          <c:val>
            <c:numLit>
              <c:formatCode>General</c:formatCode>
              <c:ptCount val="4"/>
              <c:pt idx="0">
                <c:v>24300</c:v>
              </c:pt>
              <c:pt idx="1">
                <c:v>17251</c:v>
              </c:pt>
              <c:pt idx="2">
                <c:v>58645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D58-48A5-9544-C615ADEA4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80897801443882"/>
          <c:y val="0.35961398958882579"/>
          <c:w val="0.1368600867337626"/>
          <c:h val="0.371185385608626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10</xdr:row>
      <xdr:rowOff>4761</xdr:rowOff>
    </xdr:from>
    <xdr:to>
      <xdr:col>15</xdr:col>
      <xdr:colOff>180974</xdr:colOff>
      <xdr:row>34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70EF6D4-FAB4-58CB-8CB2-F3E2CF0A8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35</xdr:row>
      <xdr:rowOff>4762</xdr:rowOff>
    </xdr:from>
    <xdr:to>
      <xdr:col>15</xdr:col>
      <xdr:colOff>190500</xdr:colOff>
      <xdr:row>54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8F18293-B0E2-22C7-B1B4-1EBCABC45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аниил Перевозчиков" refreshedDate="46238.867188425924" createdVersion="8" refreshedVersion="8" minRefreshableVersion="3" recordCount="126" xr:uid="{CAF8BB38-C0F8-49C9-A703-571FE445DD09}">
  <cacheSource type="worksheet">
    <worksheetSource ref="B1:F127" sheet="Июль 2026"/>
  </cacheSource>
  <cacheFields count="5">
    <cacheField name="Дата" numFmtId="0">
      <sharedItems containsString="0" containsBlank="1" containsNumber="1" containsInteger="1" minValue="1" maxValue="31"/>
    </cacheField>
    <cacheField name="Вид траты" numFmtId="0">
      <sharedItems containsBlank="1" count="11">
        <s v="ЖКХ"/>
        <s v="Еда"/>
        <s v="Здоровье"/>
        <s v="Бытовуха"/>
        <s v="Подписки"/>
        <s v="Одежда"/>
        <s v="Такси"/>
        <s v="Учеба"/>
        <s v="Прочее"/>
        <s v="Развлечение"/>
        <m/>
      </sharedItems>
    </cacheField>
    <cacheField name="Описание траты" numFmtId="0">
      <sharedItems containsBlank="1"/>
    </cacheField>
    <cacheField name="Сумма" numFmtId="44">
      <sharedItems containsString="0" containsBlank="1" containsNumber="1" containsInteger="1" minValue="66" maxValue="25000"/>
    </cacheField>
    <cacheField name="Тип" numFmtId="0">
      <sharedItems containsBlank="1" count="4">
        <s v="Семейный"/>
        <s v="Личный"/>
        <s v="Жена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1"/>
    <x v="0"/>
    <s v="За квартиру"/>
    <n v="25000"/>
    <x v="0"/>
  </r>
  <r>
    <n v="1"/>
    <x v="1"/>
    <s v="На альфу Насте"/>
    <n v="6000"/>
    <x v="0"/>
  </r>
  <r>
    <n v="1"/>
    <x v="1"/>
    <s v="Дом"/>
    <n v="260"/>
    <x v="0"/>
  </r>
  <r>
    <n v="2"/>
    <x v="1"/>
    <s v="На альфу Насте"/>
    <n v="1000"/>
    <x v="0"/>
  </r>
  <r>
    <n v="2"/>
    <x v="2"/>
    <s v="Зал"/>
    <n v="1600"/>
    <x v="0"/>
  </r>
  <r>
    <n v="2"/>
    <x v="3"/>
    <s v="Озон"/>
    <n v="167"/>
    <x v="0"/>
  </r>
  <r>
    <n v="3"/>
    <x v="1"/>
    <s v="На альфу Насте"/>
    <n v="5000"/>
    <x v="0"/>
  </r>
  <r>
    <n v="3"/>
    <x v="4"/>
    <s v="Ростелеком"/>
    <n v="1060"/>
    <x v="0"/>
  </r>
  <r>
    <n v="3"/>
    <x v="4"/>
    <s v="Т Про"/>
    <n v="299"/>
    <x v="1"/>
  </r>
  <r>
    <n v="4"/>
    <x v="5"/>
    <s v="Кросы и штаны"/>
    <n v="1200"/>
    <x v="1"/>
  </r>
  <r>
    <n v="4"/>
    <x v="5"/>
    <s v="Джинсы Насте"/>
    <n v="1500"/>
    <x v="2"/>
  </r>
  <r>
    <n v="4"/>
    <x v="2"/>
    <s v="Анализы"/>
    <n v="2500"/>
    <x v="1"/>
  </r>
  <r>
    <n v="4"/>
    <x v="6"/>
    <s v="ПО Ижу"/>
    <n v="180"/>
    <x v="0"/>
  </r>
  <r>
    <n v="4"/>
    <x v="1"/>
    <s v="Дядя Арчи"/>
    <n v="696"/>
    <x v="0"/>
  </r>
  <r>
    <n v="5"/>
    <x v="2"/>
    <s v="Зубы Насте"/>
    <n v="6500"/>
    <x v="2"/>
  </r>
  <r>
    <n v="5"/>
    <x v="4"/>
    <s v="Чат гпт"/>
    <n v="1800"/>
    <x v="0"/>
  </r>
  <r>
    <n v="8"/>
    <x v="2"/>
    <s v="Зал"/>
    <n v="15000"/>
    <x v="2"/>
  </r>
  <r>
    <n v="10"/>
    <x v="1"/>
    <s v="На альфу Насте"/>
    <n v="2000"/>
    <x v="0"/>
  </r>
  <r>
    <n v="13"/>
    <x v="7"/>
    <s v="Техновек"/>
    <n v="10000"/>
    <x v="1"/>
  </r>
  <r>
    <n v="14"/>
    <x v="8"/>
    <s v="Насте"/>
    <n v="1300"/>
    <x v="2"/>
  </r>
  <r>
    <n v="14"/>
    <x v="1"/>
    <s v="На альфу Насте"/>
    <n v="2000"/>
    <x v="0"/>
  </r>
  <r>
    <n v="16"/>
    <x v="1"/>
    <s v="На альфу Насте"/>
    <n v="2000"/>
    <x v="0"/>
  </r>
  <r>
    <n v="17"/>
    <x v="4"/>
    <s v="Yota"/>
    <n v="762"/>
    <x v="1"/>
  </r>
  <r>
    <n v="18"/>
    <x v="6"/>
    <s v="Втк"/>
    <n v="400"/>
    <x v="0"/>
  </r>
  <r>
    <n v="18"/>
    <x v="6"/>
    <s v="Иж"/>
    <n v="400"/>
    <x v="0"/>
  </r>
  <r>
    <n v="18"/>
    <x v="8"/>
    <s v="Профи"/>
    <n v="120"/>
    <x v="0"/>
  </r>
  <r>
    <n v="19"/>
    <x v="1"/>
    <s v="Завтрак"/>
    <n v="536"/>
    <x v="0"/>
  </r>
  <r>
    <n v="19"/>
    <x v="5"/>
    <s v="Носки"/>
    <n v="263"/>
    <x v="1"/>
  </r>
  <r>
    <n v="22"/>
    <x v="1"/>
    <s v="На альфу Насте"/>
    <n v="2000"/>
    <x v="0"/>
  </r>
  <r>
    <n v="23"/>
    <x v="1"/>
    <s v="Вода"/>
    <n v="66"/>
    <x v="0"/>
  </r>
  <r>
    <n v="25"/>
    <x v="6"/>
    <s v="Втк"/>
    <n v="536"/>
    <x v="0"/>
  </r>
  <r>
    <n v="25"/>
    <x v="6"/>
    <s v="Шаркан"/>
    <n v="499"/>
    <x v="0"/>
  </r>
  <r>
    <n v="25"/>
    <x v="1"/>
    <s v="Дом"/>
    <n v="2063"/>
    <x v="0"/>
  </r>
  <r>
    <n v="26"/>
    <x v="6"/>
    <s v="Иж"/>
    <n v="500"/>
    <x v="0"/>
  </r>
  <r>
    <n v="27"/>
    <x v="5"/>
    <s v="Кепка"/>
    <n v="227"/>
    <x v="1"/>
  </r>
  <r>
    <n v="27"/>
    <x v="2"/>
    <s v="Зал"/>
    <n v="2000"/>
    <x v="1"/>
  </r>
  <r>
    <n v="28"/>
    <x v="1"/>
    <s v="Вода"/>
    <n v="99"/>
    <x v="0"/>
  </r>
  <r>
    <n v="29"/>
    <x v="1"/>
    <s v="Дом"/>
    <n v="150"/>
    <x v="0"/>
  </r>
  <r>
    <n v="29"/>
    <x v="1"/>
    <s v="Суши"/>
    <n v="1000"/>
    <x v="0"/>
  </r>
  <r>
    <n v="30"/>
    <x v="1"/>
    <s v="На альфу Насте"/>
    <n v="1000"/>
    <x v="0"/>
  </r>
  <r>
    <n v="30"/>
    <x v="9"/>
    <s v="Кофе"/>
    <n v="195"/>
    <x v="0"/>
  </r>
  <r>
    <n v="31"/>
    <x v="1"/>
    <s v="Дом"/>
    <n v="318"/>
    <x v="0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  <r>
    <m/>
    <x v="10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4524D-696F-448B-B4E4-5FC10185DE38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8">
  <location ref="H1:I13" firstHeaderRow="1" firstDataRow="1" firstDataCol="1"/>
  <pivotFields count="5">
    <pivotField showAll="0"/>
    <pivotField axis="axisRow" showAll="0">
      <items count="12">
        <item x="3"/>
        <item x="1"/>
        <item x="0"/>
        <item x="2"/>
        <item x="5"/>
        <item x="4"/>
        <item x="6"/>
        <item x="10"/>
        <item x="7"/>
        <item x="8"/>
        <item x="9"/>
        <item t="default"/>
      </items>
    </pivotField>
    <pivotField showAll="0"/>
    <pivotField dataField="1" numFmtId="44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Сумма по полю Сумма" fld="3" baseField="1" baseItem="0" numFmtId="44"/>
  </dataFields>
  <chartFormats count="1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9F2EB-D0FC-49A3-B793-95B21761A651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K1:L6" firstHeaderRow="1" firstDataRow="1" firstDataCol="1"/>
  <pivotFields count="5">
    <pivotField showAll="0"/>
    <pivotField showAll="0"/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Сумма" fld="3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5BC9-F408-4CCF-9C91-C2E3EB24F827}">
  <dimension ref="B1:F133"/>
  <sheetViews>
    <sheetView tabSelected="1" topLeftCell="A102" zoomScaleNormal="100" workbookViewId="0">
      <selection activeCell="E124" sqref="E124"/>
    </sheetView>
  </sheetViews>
  <sheetFormatPr defaultRowHeight="15" x14ac:dyDescent="0.25"/>
  <cols>
    <col min="3" max="3" width="14.140625" customWidth="1"/>
    <col min="4" max="4" width="19" customWidth="1"/>
    <col min="5" max="5" width="12.85546875" customWidth="1"/>
    <col min="6" max="6" width="15.42578125" customWidth="1"/>
    <col min="7" max="7" width="14.28515625" customWidth="1"/>
    <col min="8" max="8" width="17.28515625" bestFit="1" customWidth="1"/>
    <col min="9" max="9" width="22.5703125" bestFit="1" customWidth="1"/>
    <col min="11" max="11" width="17.28515625" bestFit="1" customWidth="1"/>
    <col min="12" max="12" width="22.5703125" bestFit="1" customWidth="1"/>
  </cols>
  <sheetData>
    <row r="1" spans="2:6" x14ac:dyDescent="0.25">
      <c r="B1" t="s">
        <v>9</v>
      </c>
      <c r="C1" t="s">
        <v>3</v>
      </c>
      <c r="D1" t="s">
        <v>7</v>
      </c>
      <c r="E1" t="s">
        <v>8</v>
      </c>
      <c r="F1" t="s">
        <v>38</v>
      </c>
    </row>
    <row r="2" spans="2:6" x14ac:dyDescent="0.25">
      <c r="B2">
        <v>1</v>
      </c>
      <c r="C2" s="1" t="s">
        <v>22</v>
      </c>
      <c r="D2" t="s">
        <v>23</v>
      </c>
      <c r="E2" s="2">
        <v>25000</v>
      </c>
      <c r="F2" t="s">
        <v>40</v>
      </c>
    </row>
    <row r="3" spans="2:6" x14ac:dyDescent="0.25">
      <c r="B3">
        <v>1</v>
      </c>
      <c r="C3" s="1" t="s">
        <v>5</v>
      </c>
      <c r="D3" t="s">
        <v>14</v>
      </c>
      <c r="E3" s="2">
        <f>143+290+417</f>
        <v>850</v>
      </c>
      <c r="F3" t="s">
        <v>40</v>
      </c>
    </row>
    <row r="4" spans="2:6" x14ac:dyDescent="0.25">
      <c r="B4">
        <v>1</v>
      </c>
      <c r="C4" s="1" t="s">
        <v>5</v>
      </c>
      <c r="D4" t="s">
        <v>65</v>
      </c>
      <c r="E4" s="2">
        <v>1000</v>
      </c>
      <c r="F4" t="s">
        <v>40</v>
      </c>
    </row>
    <row r="5" spans="2:6" x14ac:dyDescent="0.25">
      <c r="B5">
        <v>2</v>
      </c>
      <c r="C5" s="1" t="s">
        <v>5</v>
      </c>
      <c r="D5" t="s">
        <v>65</v>
      </c>
      <c r="E5" s="2">
        <v>2000</v>
      </c>
      <c r="F5" t="s">
        <v>40</v>
      </c>
    </row>
    <row r="6" spans="2:6" x14ac:dyDescent="0.25">
      <c r="B6">
        <v>2</v>
      </c>
      <c r="C6" s="1" t="s">
        <v>5</v>
      </c>
      <c r="D6" t="s">
        <v>15</v>
      </c>
      <c r="E6" s="2">
        <v>243</v>
      </c>
      <c r="F6" t="s">
        <v>40</v>
      </c>
    </row>
    <row r="7" spans="2:6" x14ac:dyDescent="0.25">
      <c r="B7">
        <v>2</v>
      </c>
      <c r="C7" s="1" t="s">
        <v>33</v>
      </c>
      <c r="D7" t="s">
        <v>34</v>
      </c>
      <c r="E7" s="2">
        <v>299</v>
      </c>
      <c r="F7" t="s">
        <v>39</v>
      </c>
    </row>
    <row r="8" spans="2:6" x14ac:dyDescent="0.25">
      <c r="B8">
        <v>3</v>
      </c>
      <c r="C8" s="1" t="s">
        <v>5</v>
      </c>
      <c r="D8" t="s">
        <v>65</v>
      </c>
      <c r="E8" s="2">
        <v>1000</v>
      </c>
      <c r="F8" t="s">
        <v>40</v>
      </c>
    </row>
    <row r="9" spans="2:6" x14ac:dyDescent="0.25">
      <c r="B9">
        <v>3</v>
      </c>
      <c r="C9" s="1" t="s">
        <v>5</v>
      </c>
      <c r="D9" t="s">
        <v>31</v>
      </c>
      <c r="E9" s="2">
        <v>66</v>
      </c>
      <c r="F9" t="s">
        <v>40</v>
      </c>
    </row>
    <row r="10" spans="2:6" x14ac:dyDescent="0.25">
      <c r="B10">
        <v>4</v>
      </c>
      <c r="C10" s="1" t="s">
        <v>0</v>
      </c>
      <c r="D10" t="s">
        <v>19</v>
      </c>
      <c r="E10" s="2">
        <f>45+45+45+45</f>
        <v>180</v>
      </c>
      <c r="F10" t="s">
        <v>40</v>
      </c>
    </row>
    <row r="11" spans="2:6" x14ac:dyDescent="0.25">
      <c r="B11">
        <v>4</v>
      </c>
      <c r="C11" s="1" t="s">
        <v>10</v>
      </c>
      <c r="D11" t="s">
        <v>44</v>
      </c>
      <c r="E11" s="2">
        <v>12000</v>
      </c>
      <c r="F11" t="s">
        <v>57</v>
      </c>
    </row>
    <row r="12" spans="2:6" x14ac:dyDescent="0.25">
      <c r="B12">
        <v>4</v>
      </c>
      <c r="C12" s="1" t="s">
        <v>10</v>
      </c>
      <c r="D12" t="s">
        <v>36</v>
      </c>
      <c r="E12" s="2">
        <v>164</v>
      </c>
      <c r="F12" t="s">
        <v>40</v>
      </c>
    </row>
    <row r="13" spans="2:6" x14ac:dyDescent="0.25">
      <c r="B13">
        <v>4</v>
      </c>
      <c r="C13" s="1" t="s">
        <v>5</v>
      </c>
      <c r="D13" t="s">
        <v>14</v>
      </c>
      <c r="E13" s="2">
        <v>513</v>
      </c>
      <c r="F13" t="s">
        <v>40</v>
      </c>
    </row>
    <row r="14" spans="2:6" x14ac:dyDescent="0.25">
      <c r="B14">
        <v>5</v>
      </c>
      <c r="C14" s="1" t="s">
        <v>5</v>
      </c>
      <c r="D14" t="s">
        <v>65</v>
      </c>
      <c r="E14" s="2">
        <v>1000</v>
      </c>
      <c r="F14" t="s">
        <v>40</v>
      </c>
    </row>
    <row r="15" spans="2:6" x14ac:dyDescent="0.25">
      <c r="B15">
        <v>5</v>
      </c>
      <c r="C15" s="1" t="s">
        <v>10</v>
      </c>
      <c r="D15" t="s">
        <v>36</v>
      </c>
      <c r="E15" s="2">
        <f>394+106+497</f>
        <v>997</v>
      </c>
      <c r="F15" t="s">
        <v>40</v>
      </c>
    </row>
    <row r="16" spans="2:6" x14ac:dyDescent="0.25">
      <c r="B16">
        <v>5</v>
      </c>
      <c r="C16" s="1" t="s">
        <v>33</v>
      </c>
      <c r="D16" t="s">
        <v>30</v>
      </c>
      <c r="E16" s="2">
        <v>700</v>
      </c>
      <c r="F16" t="s">
        <v>40</v>
      </c>
    </row>
    <row r="17" spans="2:6" x14ac:dyDescent="0.25">
      <c r="B17">
        <v>5</v>
      </c>
      <c r="C17" s="1" t="s">
        <v>5</v>
      </c>
      <c r="D17" t="s">
        <v>14</v>
      </c>
      <c r="E17" s="2">
        <f>52+100</f>
        <v>152</v>
      </c>
      <c r="F17" t="s">
        <v>40</v>
      </c>
    </row>
    <row r="18" spans="2:6" x14ac:dyDescent="0.25">
      <c r="B18">
        <v>7</v>
      </c>
      <c r="C18" s="1" t="s">
        <v>5</v>
      </c>
      <c r="D18" t="s">
        <v>65</v>
      </c>
      <c r="E18" s="2">
        <v>1000</v>
      </c>
      <c r="F18" t="s">
        <v>40</v>
      </c>
    </row>
    <row r="19" spans="2:6" x14ac:dyDescent="0.25">
      <c r="B19">
        <v>7</v>
      </c>
      <c r="C19" t="s">
        <v>5</v>
      </c>
      <c r="D19" t="s">
        <v>15</v>
      </c>
      <c r="E19" s="2">
        <v>109</v>
      </c>
      <c r="F19" t="s">
        <v>40</v>
      </c>
    </row>
    <row r="20" spans="2:6" x14ac:dyDescent="0.25">
      <c r="B20">
        <v>8</v>
      </c>
      <c r="C20" s="1" t="s">
        <v>5</v>
      </c>
      <c r="D20" t="s">
        <v>14</v>
      </c>
      <c r="E20" s="2">
        <f>2000</f>
        <v>2000</v>
      </c>
      <c r="F20" t="s">
        <v>40</v>
      </c>
    </row>
    <row r="21" spans="2:6" x14ac:dyDescent="0.25">
      <c r="B21">
        <v>8</v>
      </c>
      <c r="C21" s="1" t="s">
        <v>33</v>
      </c>
      <c r="D21" t="s">
        <v>49</v>
      </c>
      <c r="E21" s="7">
        <v>1954</v>
      </c>
      <c r="F21" t="s">
        <v>40</v>
      </c>
    </row>
    <row r="22" spans="2:6" x14ac:dyDescent="0.25">
      <c r="B22">
        <v>9</v>
      </c>
      <c r="C22" s="1" t="s">
        <v>5</v>
      </c>
      <c r="D22" t="s">
        <v>65</v>
      </c>
      <c r="E22" s="7">
        <v>1000</v>
      </c>
      <c r="F22" t="s">
        <v>40</v>
      </c>
    </row>
    <row r="23" spans="2:6" x14ac:dyDescent="0.25">
      <c r="B23">
        <v>11</v>
      </c>
      <c r="C23" s="1" t="s">
        <v>11</v>
      </c>
      <c r="D23" t="s">
        <v>66</v>
      </c>
      <c r="E23" s="2">
        <v>4100</v>
      </c>
      <c r="F23" t="s">
        <v>57</v>
      </c>
    </row>
    <row r="24" spans="2:6" x14ac:dyDescent="0.25">
      <c r="B24">
        <v>12</v>
      </c>
      <c r="C24" s="1" t="s">
        <v>33</v>
      </c>
      <c r="D24" t="s">
        <v>67</v>
      </c>
      <c r="E24" s="2">
        <v>675</v>
      </c>
      <c r="F24" t="s">
        <v>40</v>
      </c>
    </row>
    <row r="25" spans="2:6" x14ac:dyDescent="0.25">
      <c r="B25">
        <v>12</v>
      </c>
      <c r="C25" s="1" t="s">
        <v>5</v>
      </c>
      <c r="D25" t="s">
        <v>65</v>
      </c>
      <c r="E25" s="2">
        <v>1400</v>
      </c>
      <c r="F25" t="s">
        <v>40</v>
      </c>
    </row>
    <row r="26" spans="2:6" x14ac:dyDescent="0.25">
      <c r="B26">
        <v>13</v>
      </c>
      <c r="C26" s="1" t="s">
        <v>33</v>
      </c>
      <c r="D26" t="s">
        <v>50</v>
      </c>
      <c r="E26" s="2">
        <v>100</v>
      </c>
      <c r="F26" t="s">
        <v>39</v>
      </c>
    </row>
    <row r="27" spans="2:6" x14ac:dyDescent="0.25">
      <c r="B27">
        <v>14</v>
      </c>
      <c r="C27" s="1" t="s">
        <v>5</v>
      </c>
      <c r="D27" t="s">
        <v>65</v>
      </c>
      <c r="E27" s="2">
        <v>1000</v>
      </c>
      <c r="F27" t="s">
        <v>40</v>
      </c>
    </row>
    <row r="28" spans="2:6" x14ac:dyDescent="0.25">
      <c r="B28">
        <v>14</v>
      </c>
      <c r="C28" s="1" t="s">
        <v>11</v>
      </c>
      <c r="D28" t="s">
        <v>68</v>
      </c>
      <c r="E28" s="2">
        <v>700</v>
      </c>
      <c r="F28" t="s">
        <v>57</v>
      </c>
    </row>
    <row r="29" spans="2:6" x14ac:dyDescent="0.25">
      <c r="B29">
        <v>15</v>
      </c>
      <c r="C29" s="1" t="s">
        <v>5</v>
      </c>
      <c r="D29" t="s">
        <v>65</v>
      </c>
      <c r="E29" s="2">
        <v>500</v>
      </c>
      <c r="F29" t="s">
        <v>40</v>
      </c>
    </row>
    <row r="30" spans="2:6" x14ac:dyDescent="0.25">
      <c r="B30">
        <v>15</v>
      </c>
      <c r="C30" s="1" t="s">
        <v>5</v>
      </c>
      <c r="D30" t="s">
        <v>69</v>
      </c>
      <c r="E30" s="2">
        <v>488</v>
      </c>
      <c r="F30" t="s">
        <v>40</v>
      </c>
    </row>
    <row r="31" spans="2:6" x14ac:dyDescent="0.25">
      <c r="B31">
        <v>16</v>
      </c>
      <c r="C31" s="1" t="s">
        <v>33</v>
      </c>
      <c r="D31" t="s">
        <v>16</v>
      </c>
      <c r="E31" s="2">
        <v>650</v>
      </c>
      <c r="F31" t="s">
        <v>39</v>
      </c>
    </row>
    <row r="32" spans="2:6" x14ac:dyDescent="0.25">
      <c r="B32">
        <v>16</v>
      </c>
      <c r="C32" s="1" t="s">
        <v>11</v>
      </c>
      <c r="D32" t="s">
        <v>71</v>
      </c>
      <c r="E32" s="2">
        <v>6000</v>
      </c>
      <c r="F32" t="s">
        <v>57</v>
      </c>
    </row>
    <row r="33" spans="2:6" x14ac:dyDescent="0.25">
      <c r="B33">
        <v>16</v>
      </c>
      <c r="C33" s="1" t="s">
        <v>5</v>
      </c>
      <c r="D33" t="s">
        <v>14</v>
      </c>
      <c r="E33" s="2">
        <v>1000</v>
      </c>
      <c r="F33" t="s">
        <v>40</v>
      </c>
    </row>
    <row r="34" spans="2:6" x14ac:dyDescent="0.25">
      <c r="B34">
        <v>16</v>
      </c>
      <c r="C34" s="1" t="s">
        <v>0</v>
      </c>
      <c r="D34" t="s">
        <v>46</v>
      </c>
      <c r="E34" s="2">
        <v>90</v>
      </c>
      <c r="F34" t="s">
        <v>40</v>
      </c>
    </row>
    <row r="35" spans="2:6" x14ac:dyDescent="0.25">
      <c r="B35">
        <v>16</v>
      </c>
      <c r="C35" s="1" t="s">
        <v>5</v>
      </c>
      <c r="D35" t="s">
        <v>14</v>
      </c>
      <c r="E35" s="2">
        <f>33+96+130</f>
        <v>259</v>
      </c>
      <c r="F35" t="s">
        <v>40</v>
      </c>
    </row>
    <row r="36" spans="2:6" x14ac:dyDescent="0.25">
      <c r="B36">
        <v>18</v>
      </c>
      <c r="C36" s="1" t="s">
        <v>5</v>
      </c>
      <c r="D36" t="s">
        <v>65</v>
      </c>
      <c r="E36" s="2">
        <v>1000</v>
      </c>
      <c r="F36" t="s">
        <v>40</v>
      </c>
    </row>
    <row r="37" spans="2:6" x14ac:dyDescent="0.25">
      <c r="B37">
        <v>18</v>
      </c>
      <c r="C37" s="1" t="s">
        <v>10</v>
      </c>
      <c r="D37" t="s">
        <v>70</v>
      </c>
      <c r="E37" s="2">
        <v>698</v>
      </c>
      <c r="F37" t="s">
        <v>39</v>
      </c>
    </row>
    <row r="38" spans="2:6" x14ac:dyDescent="0.25">
      <c r="B38">
        <v>18</v>
      </c>
      <c r="C38" s="1" t="s">
        <v>4</v>
      </c>
      <c r="D38" t="s">
        <v>20</v>
      </c>
      <c r="E38" s="2">
        <v>10000</v>
      </c>
      <c r="F38" t="s">
        <v>39</v>
      </c>
    </row>
    <row r="39" spans="2:6" x14ac:dyDescent="0.25">
      <c r="B39">
        <v>19</v>
      </c>
      <c r="C39" s="1" t="s">
        <v>5</v>
      </c>
      <c r="D39" t="s">
        <v>14</v>
      </c>
      <c r="E39" s="2">
        <f>90+35+246</f>
        <v>371</v>
      </c>
      <c r="F39" t="s">
        <v>40</v>
      </c>
    </row>
    <row r="40" spans="2:6" x14ac:dyDescent="0.25">
      <c r="B40">
        <v>20</v>
      </c>
      <c r="C40" s="1" t="s">
        <v>12</v>
      </c>
      <c r="D40" t="s">
        <v>72</v>
      </c>
      <c r="E40" s="2">
        <v>642</v>
      </c>
      <c r="F40" t="s">
        <v>40</v>
      </c>
    </row>
    <row r="41" spans="2:6" x14ac:dyDescent="0.25">
      <c r="C41" s="1"/>
      <c r="E41" s="2"/>
    </row>
    <row r="42" spans="2:6" x14ac:dyDescent="0.25">
      <c r="C42" s="1"/>
      <c r="E42" s="2"/>
    </row>
    <row r="43" spans="2:6" x14ac:dyDescent="0.25">
      <c r="C43" s="1"/>
      <c r="E43" s="2"/>
    </row>
    <row r="44" spans="2:6" x14ac:dyDescent="0.25">
      <c r="B44" s="10"/>
      <c r="C44" s="10"/>
      <c r="D44" s="10"/>
      <c r="E44" s="11"/>
      <c r="F44" s="10"/>
    </row>
    <row r="45" spans="2:6" x14ac:dyDescent="0.25">
      <c r="C45" s="1"/>
      <c r="E45" s="2"/>
    </row>
    <row r="46" spans="2:6" x14ac:dyDescent="0.25">
      <c r="C46" s="1"/>
      <c r="E46" s="2"/>
    </row>
    <row r="47" spans="2:6" x14ac:dyDescent="0.25">
      <c r="C47" s="1"/>
      <c r="E47" s="2"/>
    </row>
    <row r="48" spans="2:6" x14ac:dyDescent="0.25">
      <c r="C48" s="1"/>
      <c r="E48" s="2"/>
    </row>
    <row r="49" spans="3:5" x14ac:dyDescent="0.25">
      <c r="C49" s="1"/>
      <c r="E49" s="2"/>
    </row>
    <row r="50" spans="3:5" x14ac:dyDescent="0.25">
      <c r="C50" s="1"/>
      <c r="E50" s="2"/>
    </row>
    <row r="51" spans="3:5" x14ac:dyDescent="0.25">
      <c r="C51" s="1"/>
      <c r="E51" s="2"/>
    </row>
    <row r="52" spans="3:5" x14ac:dyDescent="0.25">
      <c r="C52" s="1"/>
      <c r="E52" s="2"/>
    </row>
    <row r="53" spans="3:5" x14ac:dyDescent="0.25">
      <c r="C53" s="1"/>
      <c r="E53" s="2"/>
    </row>
    <row r="54" spans="3:5" x14ac:dyDescent="0.25">
      <c r="C54" s="1"/>
      <c r="E54" s="2"/>
    </row>
    <row r="55" spans="3:5" x14ac:dyDescent="0.25">
      <c r="C55" s="1"/>
      <c r="E55" s="2"/>
    </row>
    <row r="56" spans="3:5" x14ac:dyDescent="0.25">
      <c r="C56" s="1"/>
      <c r="E56" s="2"/>
    </row>
    <row r="57" spans="3:5" x14ac:dyDescent="0.25">
      <c r="C57" s="1"/>
      <c r="E57" s="2"/>
    </row>
    <row r="58" spans="3:5" x14ac:dyDescent="0.25">
      <c r="C58" s="1"/>
      <c r="E58" s="2"/>
    </row>
    <row r="59" spans="3:5" x14ac:dyDescent="0.25">
      <c r="C59" s="1"/>
      <c r="E59" s="2"/>
    </row>
    <row r="60" spans="3:5" x14ac:dyDescent="0.25">
      <c r="C60" s="1"/>
      <c r="E60" s="2"/>
    </row>
    <row r="61" spans="3:5" x14ac:dyDescent="0.25">
      <c r="C61" s="1"/>
      <c r="E61" s="2"/>
    </row>
    <row r="62" spans="3:5" x14ac:dyDescent="0.25">
      <c r="C62" s="1"/>
      <c r="E62" s="2"/>
    </row>
    <row r="63" spans="3:5" x14ac:dyDescent="0.25">
      <c r="C63" s="1"/>
      <c r="E63" s="2"/>
    </row>
    <row r="64" spans="3:5" x14ac:dyDescent="0.25">
      <c r="C64" s="1"/>
      <c r="E64" s="2"/>
    </row>
    <row r="65" spans="3:5" x14ac:dyDescent="0.25">
      <c r="C65" s="1"/>
      <c r="E65" s="2"/>
    </row>
    <row r="66" spans="3:5" x14ac:dyDescent="0.25">
      <c r="C66" s="1"/>
      <c r="E66" s="2"/>
    </row>
    <row r="67" spans="3:5" x14ac:dyDescent="0.25">
      <c r="C67" s="1"/>
      <c r="E67" s="2"/>
    </row>
    <row r="68" spans="3:5" x14ac:dyDescent="0.25">
      <c r="C68" s="1"/>
      <c r="E68" s="2"/>
    </row>
    <row r="69" spans="3:5" x14ac:dyDescent="0.25">
      <c r="C69" s="1"/>
      <c r="E69" s="2"/>
    </row>
    <row r="70" spans="3:5" x14ac:dyDescent="0.25">
      <c r="C70" s="1"/>
      <c r="E70" s="2"/>
    </row>
    <row r="71" spans="3:5" x14ac:dyDescent="0.25">
      <c r="C71" s="1"/>
      <c r="E71" s="2"/>
    </row>
    <row r="72" spans="3:5" x14ac:dyDescent="0.25">
      <c r="C72" s="1"/>
      <c r="E72" s="2"/>
    </row>
    <row r="73" spans="3:5" x14ac:dyDescent="0.25">
      <c r="C73" s="1"/>
      <c r="E73" s="2"/>
    </row>
    <row r="74" spans="3:5" x14ac:dyDescent="0.25">
      <c r="C74" s="1"/>
      <c r="E74" s="2"/>
    </row>
    <row r="75" spans="3:5" x14ac:dyDescent="0.25">
      <c r="C75" s="1"/>
      <c r="E75" s="2"/>
    </row>
    <row r="76" spans="3:5" x14ac:dyDescent="0.25">
      <c r="C76" s="1"/>
      <c r="E76" s="2"/>
    </row>
    <row r="77" spans="3:5" x14ac:dyDescent="0.25">
      <c r="C77" s="1"/>
      <c r="E77" s="2"/>
    </row>
    <row r="78" spans="3:5" x14ac:dyDescent="0.25">
      <c r="C78" s="1"/>
      <c r="E78" s="2"/>
    </row>
    <row r="79" spans="3:5" x14ac:dyDescent="0.25">
      <c r="C79" s="1"/>
      <c r="E79" s="2"/>
    </row>
    <row r="80" spans="3:5" x14ac:dyDescent="0.25">
      <c r="C80" s="1"/>
      <c r="E80" s="2"/>
    </row>
    <row r="81" spans="3:5" x14ac:dyDescent="0.25">
      <c r="C81" s="1"/>
      <c r="E81" s="2"/>
    </row>
    <row r="82" spans="3:5" x14ac:dyDescent="0.25">
      <c r="C82" s="1"/>
      <c r="E82" s="2"/>
    </row>
    <row r="83" spans="3:5" x14ac:dyDescent="0.25">
      <c r="E83" s="2"/>
    </row>
    <row r="84" spans="3:5" x14ac:dyDescent="0.25">
      <c r="C84" s="1"/>
      <c r="E84" s="2"/>
    </row>
    <row r="85" spans="3:5" x14ac:dyDescent="0.25">
      <c r="C85" s="1"/>
      <c r="E85" s="2"/>
    </row>
    <row r="86" spans="3:5" x14ac:dyDescent="0.25">
      <c r="C86" s="1"/>
      <c r="E86" s="2"/>
    </row>
    <row r="87" spans="3:5" x14ac:dyDescent="0.25">
      <c r="C87" s="1"/>
      <c r="E87" s="2"/>
    </row>
    <row r="88" spans="3:5" x14ac:dyDescent="0.25">
      <c r="C88" s="1"/>
      <c r="E88" s="2"/>
    </row>
    <row r="89" spans="3:5" x14ac:dyDescent="0.25">
      <c r="C89" s="1"/>
      <c r="E89" s="2"/>
    </row>
    <row r="90" spans="3:5" x14ac:dyDescent="0.25">
      <c r="C90" s="1"/>
      <c r="E90" s="2"/>
    </row>
    <row r="91" spans="3:5" x14ac:dyDescent="0.25">
      <c r="C91" s="1"/>
      <c r="E91" s="2"/>
    </row>
    <row r="92" spans="3:5" x14ac:dyDescent="0.25">
      <c r="C92" s="1"/>
      <c r="E92" s="2"/>
    </row>
    <row r="93" spans="3:5" x14ac:dyDescent="0.25">
      <c r="C93" s="1"/>
      <c r="E93" s="2"/>
    </row>
    <row r="94" spans="3:5" x14ac:dyDescent="0.25">
      <c r="C94" s="1"/>
      <c r="E94" s="2"/>
    </row>
    <row r="95" spans="3:5" x14ac:dyDescent="0.25">
      <c r="C95" s="1"/>
      <c r="E95" s="2"/>
    </row>
    <row r="96" spans="3:5" x14ac:dyDescent="0.25">
      <c r="C96" s="1"/>
      <c r="E96" s="9"/>
    </row>
    <row r="97" spans="3:5" x14ac:dyDescent="0.25">
      <c r="E97" s="2"/>
    </row>
    <row r="98" spans="3:5" x14ac:dyDescent="0.25">
      <c r="C98" s="1"/>
      <c r="E98" s="2"/>
    </row>
    <row r="99" spans="3:5" x14ac:dyDescent="0.25">
      <c r="C99" s="1"/>
      <c r="E99" s="2"/>
    </row>
    <row r="100" spans="3:5" x14ac:dyDescent="0.25">
      <c r="C100" s="1"/>
      <c r="E100" s="2"/>
    </row>
    <row r="101" spans="3:5" x14ac:dyDescent="0.25">
      <c r="C101" s="1"/>
      <c r="E101" s="2"/>
    </row>
    <row r="102" spans="3:5" x14ac:dyDescent="0.25">
      <c r="C102" s="1"/>
      <c r="E102" s="2"/>
    </row>
    <row r="103" spans="3:5" x14ac:dyDescent="0.25">
      <c r="C103" s="1"/>
      <c r="E103" s="2"/>
    </row>
    <row r="104" spans="3:5" x14ac:dyDescent="0.25">
      <c r="C104" s="1"/>
      <c r="E104" s="2"/>
    </row>
    <row r="105" spans="3:5" x14ac:dyDescent="0.25">
      <c r="C105" s="1"/>
      <c r="E105" s="2"/>
    </row>
    <row r="106" spans="3:5" x14ac:dyDescent="0.25">
      <c r="C106" s="1"/>
      <c r="E106" s="2"/>
    </row>
    <row r="107" spans="3:5" x14ac:dyDescent="0.25">
      <c r="C107" s="1"/>
      <c r="E107" s="2"/>
    </row>
    <row r="108" spans="3:5" x14ac:dyDescent="0.25">
      <c r="C108" s="1"/>
      <c r="E108" s="2"/>
    </row>
    <row r="109" spans="3:5" x14ac:dyDescent="0.25">
      <c r="C109" s="1"/>
      <c r="E109" s="2"/>
    </row>
    <row r="110" spans="3:5" x14ac:dyDescent="0.25">
      <c r="C110" s="1"/>
      <c r="E110" s="2"/>
    </row>
    <row r="111" spans="3:5" x14ac:dyDescent="0.25">
      <c r="C111" s="1"/>
      <c r="E111" s="2"/>
    </row>
    <row r="112" spans="3:5" x14ac:dyDescent="0.25">
      <c r="C112" s="1"/>
      <c r="E112" s="2"/>
    </row>
    <row r="113" spans="3:5" x14ac:dyDescent="0.25">
      <c r="C113" s="1"/>
      <c r="E113" s="3"/>
    </row>
    <row r="114" spans="3:5" x14ac:dyDescent="0.25">
      <c r="C114" s="1"/>
      <c r="E114" s="2"/>
    </row>
    <row r="115" spans="3:5" x14ac:dyDescent="0.25">
      <c r="C115" s="1"/>
      <c r="E115" s="2"/>
    </row>
    <row r="116" spans="3:5" x14ac:dyDescent="0.25">
      <c r="C116" s="1"/>
      <c r="E116" s="2"/>
    </row>
    <row r="117" spans="3:5" x14ac:dyDescent="0.25">
      <c r="C117" s="1"/>
      <c r="E117" s="2"/>
    </row>
    <row r="118" spans="3:5" x14ac:dyDescent="0.25">
      <c r="C118" s="1"/>
      <c r="E118" s="2"/>
    </row>
    <row r="119" spans="3:5" x14ac:dyDescent="0.25">
      <c r="C119" s="1"/>
      <c r="E119" s="2"/>
    </row>
    <row r="120" spans="3:5" x14ac:dyDescent="0.25">
      <c r="C120" s="1"/>
      <c r="E120" s="2"/>
    </row>
    <row r="121" spans="3:5" x14ac:dyDescent="0.25">
      <c r="C121" s="1"/>
      <c r="E121" s="2"/>
    </row>
    <row r="122" spans="3:5" x14ac:dyDescent="0.25">
      <c r="C122" s="1"/>
      <c r="E122" s="2"/>
    </row>
    <row r="123" spans="3:5" x14ac:dyDescent="0.25">
      <c r="C123" s="1"/>
      <c r="E123" s="2"/>
    </row>
    <row r="124" spans="3:5" x14ac:dyDescent="0.25">
      <c r="C124" s="1"/>
      <c r="E124" s="2"/>
    </row>
    <row r="125" spans="3:5" x14ac:dyDescent="0.25">
      <c r="C125" s="1"/>
      <c r="E125" s="2"/>
    </row>
    <row r="126" spans="3:5" x14ac:dyDescent="0.25">
      <c r="C126" s="1"/>
      <c r="E126" s="2"/>
    </row>
    <row r="127" spans="3:5" x14ac:dyDescent="0.25">
      <c r="C127" s="1"/>
      <c r="E127" s="2"/>
    </row>
    <row r="128" spans="3:5" x14ac:dyDescent="0.25">
      <c r="C128" s="1"/>
      <c r="D128" s="5" t="s">
        <v>41</v>
      </c>
      <c r="E128" s="6">
        <f>SUMIF(F:F, "Личный", E:E)</f>
        <v>11747</v>
      </c>
    </row>
    <row r="129" spans="3:6" x14ac:dyDescent="0.25">
      <c r="C129" s="1"/>
      <c r="D129" s="5" t="s">
        <v>42</v>
      </c>
      <c r="E129" s="6">
        <f>SUMIF(F:F, "Семейный", E:E)</f>
        <v>47353</v>
      </c>
    </row>
    <row r="130" spans="3:6" x14ac:dyDescent="0.25">
      <c r="C130" s="1"/>
      <c r="D130" s="5" t="s">
        <v>57</v>
      </c>
      <c r="E130" s="6">
        <f>SUMIF(F:F, "Жена", E:E)</f>
        <v>22800</v>
      </c>
    </row>
    <row r="131" spans="3:6" x14ac:dyDescent="0.25">
      <c r="C131" s="1"/>
      <c r="D131" s="5" t="s">
        <v>43</v>
      </c>
      <c r="E131" s="4">
        <f>SUM(E2:E127)</f>
        <v>81900</v>
      </c>
    </row>
    <row r="132" spans="3:6" x14ac:dyDescent="0.25">
      <c r="C132" s="1"/>
      <c r="D132" s="5" t="s">
        <v>24</v>
      </c>
      <c r="E132" s="6">
        <v>150000</v>
      </c>
      <c r="F132" t="s">
        <v>32</v>
      </c>
    </row>
    <row r="133" spans="3:6" x14ac:dyDescent="0.25">
      <c r="D133" s="5" t="s">
        <v>17</v>
      </c>
      <c r="E133" s="8">
        <f>E132-E131</f>
        <v>68100</v>
      </c>
    </row>
  </sheetData>
  <autoFilter ref="B1:F60" xr:uid="{DF7969D6-5224-4570-B035-6CD615285867}"/>
  <dataConsolidate topLabels="1">
    <dataRefs count="1">
      <dataRef ref="C1:E88" sheet="Март 2024 "/>
    </dataRefs>
  </dataConsolidate>
  <dataValidations count="1">
    <dataValidation type="list" allowBlank="1" showInputMessage="1" showErrorMessage="1" sqref="C98:C132 C84:C96 C45:C82 C2:C18 C20:C43" xr:uid="{4A7B79BC-BB1F-43A2-A7EA-9353C5870CD0}">
      <formula1>TypeTrat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AF8C46B-390D-42B5-921E-395D8D550DDB}">
          <x14:formula1>
            <xm:f>'Виды трат'!$B$1:$B$3</xm:f>
          </x14:formula1>
          <xm:sqref>F2:F127</xm:sqref>
        </x14:dataValidation>
        <x14:dataValidation type="list" allowBlank="1" showInputMessage="1" showErrorMessage="1" xr:uid="{7EC0C4FA-0530-4258-B9CA-F3273B5AD1A9}">
          <x14:formula1>
            <xm:f>'Виды трат'!$B$1:$B$2</xm:f>
          </x14:formula1>
          <xm:sqref>F128:F129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0EEF-FE8D-4189-913D-B7DF58EAA06F}">
  <dimension ref="B1:P133"/>
  <sheetViews>
    <sheetView topLeftCell="A49" zoomScaleNormal="100" workbookViewId="0">
      <selection activeCell="E52" sqref="E52"/>
    </sheetView>
  </sheetViews>
  <sheetFormatPr defaultRowHeight="15" x14ac:dyDescent="0.25"/>
  <cols>
    <col min="3" max="3" width="14.140625" customWidth="1"/>
    <col min="4" max="4" width="19" customWidth="1"/>
    <col min="5" max="5" width="12.85546875" customWidth="1"/>
    <col min="6" max="6" width="15.42578125" customWidth="1"/>
    <col min="7" max="7" width="14.28515625" customWidth="1"/>
    <col min="8" max="8" width="17.28515625" bestFit="1" customWidth="1"/>
    <col min="9" max="9" width="22.5703125" bestFit="1" customWidth="1"/>
    <col min="11" max="11" width="17.28515625" bestFit="1" customWidth="1"/>
    <col min="12" max="12" width="22.5703125" bestFit="1" customWidth="1"/>
  </cols>
  <sheetData>
    <row r="1" spans="2:12" x14ac:dyDescent="0.25">
      <c r="B1" t="s">
        <v>9</v>
      </c>
      <c r="C1" t="s">
        <v>3</v>
      </c>
      <c r="D1" t="s">
        <v>7</v>
      </c>
      <c r="E1" t="s">
        <v>8</v>
      </c>
      <c r="F1" t="s">
        <v>38</v>
      </c>
      <c r="H1" s="12" t="s">
        <v>58</v>
      </c>
      <c r="I1" t="s">
        <v>60</v>
      </c>
      <c r="K1" s="12" t="s">
        <v>58</v>
      </c>
      <c r="L1" t="s">
        <v>60</v>
      </c>
    </row>
    <row r="2" spans="2:12" x14ac:dyDescent="0.25">
      <c r="B2">
        <v>1</v>
      </c>
      <c r="C2" s="1" t="s">
        <v>22</v>
      </c>
      <c r="D2" t="s">
        <v>23</v>
      </c>
      <c r="E2" s="2">
        <v>25000</v>
      </c>
      <c r="F2" t="s">
        <v>40</v>
      </c>
      <c r="H2" s="13" t="s">
        <v>12</v>
      </c>
      <c r="I2" s="2">
        <v>167</v>
      </c>
      <c r="K2" s="13" t="s">
        <v>57</v>
      </c>
      <c r="L2">
        <v>24300</v>
      </c>
    </row>
    <row r="3" spans="2:12" x14ac:dyDescent="0.25">
      <c r="B3">
        <v>1</v>
      </c>
      <c r="C3" s="1" t="s">
        <v>5</v>
      </c>
      <c r="D3" t="s">
        <v>52</v>
      </c>
      <c r="E3" s="2">
        <f>5000+1000</f>
        <v>6000</v>
      </c>
      <c r="F3" t="s">
        <v>40</v>
      </c>
      <c r="H3" s="13" t="s">
        <v>5</v>
      </c>
      <c r="I3" s="2">
        <v>26188</v>
      </c>
      <c r="K3" s="13" t="s">
        <v>39</v>
      </c>
      <c r="L3">
        <v>17251</v>
      </c>
    </row>
    <row r="4" spans="2:12" x14ac:dyDescent="0.25">
      <c r="B4">
        <v>1</v>
      </c>
      <c r="C4" s="1" t="s">
        <v>5</v>
      </c>
      <c r="D4" t="s">
        <v>14</v>
      </c>
      <c r="E4" s="2">
        <f>227+33</f>
        <v>260</v>
      </c>
      <c r="F4" t="s">
        <v>40</v>
      </c>
      <c r="H4" s="13" t="s">
        <v>22</v>
      </c>
      <c r="I4" s="2">
        <v>25000</v>
      </c>
      <c r="K4" s="13" t="s">
        <v>40</v>
      </c>
      <c r="L4">
        <v>58645</v>
      </c>
    </row>
    <row r="5" spans="2:12" x14ac:dyDescent="0.25">
      <c r="B5">
        <v>2</v>
      </c>
      <c r="C5" s="1" t="s">
        <v>5</v>
      </c>
      <c r="D5" t="s">
        <v>52</v>
      </c>
      <c r="E5" s="2">
        <v>1000</v>
      </c>
      <c r="F5" t="s">
        <v>40</v>
      </c>
      <c r="H5" s="13" t="s">
        <v>10</v>
      </c>
      <c r="I5" s="2">
        <v>27600</v>
      </c>
      <c r="K5" s="13" t="s">
        <v>61</v>
      </c>
    </row>
    <row r="6" spans="2:12" x14ac:dyDescent="0.25">
      <c r="B6">
        <v>2</v>
      </c>
      <c r="C6" s="1" t="s">
        <v>10</v>
      </c>
      <c r="D6" t="s">
        <v>53</v>
      </c>
      <c r="E6" s="2">
        <v>1600</v>
      </c>
      <c r="F6" t="s">
        <v>40</v>
      </c>
      <c r="H6" s="13" t="s">
        <v>1</v>
      </c>
      <c r="I6" s="2">
        <v>3190</v>
      </c>
      <c r="K6" s="13" t="s">
        <v>59</v>
      </c>
      <c r="L6">
        <v>100196</v>
      </c>
    </row>
    <row r="7" spans="2:12" x14ac:dyDescent="0.25">
      <c r="B7">
        <v>2</v>
      </c>
      <c r="C7" s="1" t="s">
        <v>12</v>
      </c>
      <c r="D7" t="s">
        <v>48</v>
      </c>
      <c r="E7" s="2">
        <v>167</v>
      </c>
      <c r="F7" t="s">
        <v>40</v>
      </c>
      <c r="H7" s="13" t="s">
        <v>33</v>
      </c>
      <c r="I7" s="2">
        <v>3921</v>
      </c>
    </row>
    <row r="8" spans="2:12" x14ac:dyDescent="0.25">
      <c r="B8">
        <v>3</v>
      </c>
      <c r="C8" s="1" t="s">
        <v>5</v>
      </c>
      <c r="D8" t="s">
        <v>52</v>
      </c>
      <c r="E8" s="2">
        <v>5000</v>
      </c>
      <c r="F8" t="s">
        <v>40</v>
      </c>
      <c r="H8" s="13" t="s">
        <v>0</v>
      </c>
      <c r="I8" s="2">
        <v>2515</v>
      </c>
    </row>
    <row r="9" spans="2:12" x14ac:dyDescent="0.25">
      <c r="B9">
        <v>3</v>
      </c>
      <c r="C9" s="1" t="s">
        <v>33</v>
      </c>
      <c r="D9" t="s">
        <v>30</v>
      </c>
      <c r="E9" s="2">
        <v>1060</v>
      </c>
      <c r="F9" t="s">
        <v>40</v>
      </c>
      <c r="H9" s="13" t="s">
        <v>61</v>
      </c>
      <c r="I9" s="2"/>
    </row>
    <row r="10" spans="2:12" x14ac:dyDescent="0.25">
      <c r="B10">
        <v>3</v>
      </c>
      <c r="C10" s="1" t="s">
        <v>33</v>
      </c>
      <c r="D10" t="s">
        <v>34</v>
      </c>
      <c r="E10" s="2">
        <v>299</v>
      </c>
      <c r="F10" t="s">
        <v>39</v>
      </c>
      <c r="H10" s="13" t="s">
        <v>4</v>
      </c>
      <c r="I10" s="2">
        <v>10000</v>
      </c>
    </row>
    <row r="11" spans="2:12" x14ac:dyDescent="0.25">
      <c r="B11">
        <v>4</v>
      </c>
      <c r="C11" s="1" t="s">
        <v>1</v>
      </c>
      <c r="D11" t="s">
        <v>54</v>
      </c>
      <c r="E11" s="2">
        <v>1200</v>
      </c>
      <c r="F11" t="s">
        <v>39</v>
      </c>
      <c r="H11" s="13" t="s">
        <v>11</v>
      </c>
      <c r="I11" s="2">
        <v>1420</v>
      </c>
    </row>
    <row r="12" spans="2:12" x14ac:dyDescent="0.25">
      <c r="B12">
        <v>4</v>
      </c>
      <c r="C12" s="1" t="s">
        <v>1</v>
      </c>
      <c r="D12" t="s">
        <v>56</v>
      </c>
      <c r="E12" s="2">
        <v>1500</v>
      </c>
      <c r="F12" t="s">
        <v>57</v>
      </c>
      <c r="H12" s="13" t="s">
        <v>6</v>
      </c>
      <c r="I12" s="2">
        <v>195</v>
      </c>
    </row>
    <row r="13" spans="2:12" x14ac:dyDescent="0.25">
      <c r="B13">
        <v>4</v>
      </c>
      <c r="C13" s="1" t="s">
        <v>10</v>
      </c>
      <c r="D13" t="s">
        <v>28</v>
      </c>
      <c r="E13" s="2">
        <v>2500</v>
      </c>
      <c r="F13" t="s">
        <v>39</v>
      </c>
      <c r="H13" s="13" t="s">
        <v>59</v>
      </c>
      <c r="I13" s="2">
        <v>100196</v>
      </c>
    </row>
    <row r="14" spans="2:12" x14ac:dyDescent="0.25">
      <c r="B14">
        <v>4</v>
      </c>
      <c r="C14" s="1" t="s">
        <v>0</v>
      </c>
      <c r="D14" t="s">
        <v>55</v>
      </c>
      <c r="E14" s="2">
        <f>45*4</f>
        <v>180</v>
      </c>
      <c r="F14" t="s">
        <v>40</v>
      </c>
    </row>
    <row r="15" spans="2:12" x14ac:dyDescent="0.25">
      <c r="B15">
        <v>4</v>
      </c>
      <c r="C15" s="1" t="s">
        <v>5</v>
      </c>
      <c r="D15" t="s">
        <v>45</v>
      </c>
      <c r="E15" s="2">
        <v>696</v>
      </c>
      <c r="F15" t="s">
        <v>40</v>
      </c>
    </row>
    <row r="16" spans="2:12" x14ac:dyDescent="0.25">
      <c r="B16">
        <v>5</v>
      </c>
      <c r="C16" s="1" t="s">
        <v>10</v>
      </c>
      <c r="D16" t="s">
        <v>44</v>
      </c>
      <c r="E16" s="2">
        <v>6500</v>
      </c>
      <c r="F16" t="s">
        <v>57</v>
      </c>
    </row>
    <row r="17" spans="2:16" x14ac:dyDescent="0.25">
      <c r="B17">
        <v>5</v>
      </c>
      <c r="C17" s="1" t="s">
        <v>33</v>
      </c>
      <c r="D17" t="s">
        <v>49</v>
      </c>
      <c r="E17" s="2">
        <v>1800</v>
      </c>
      <c r="F17" t="s">
        <v>40</v>
      </c>
    </row>
    <row r="18" spans="2:16" x14ac:dyDescent="0.25">
      <c r="B18">
        <v>8</v>
      </c>
      <c r="C18" s="1" t="s">
        <v>10</v>
      </c>
      <c r="D18" t="s">
        <v>53</v>
      </c>
      <c r="E18" s="2">
        <v>15000</v>
      </c>
      <c r="F18" t="s">
        <v>57</v>
      </c>
    </row>
    <row r="19" spans="2:16" x14ac:dyDescent="0.25">
      <c r="B19">
        <v>10</v>
      </c>
      <c r="C19" t="s">
        <v>5</v>
      </c>
      <c r="D19" t="s">
        <v>52</v>
      </c>
      <c r="E19" s="2">
        <v>2000</v>
      </c>
      <c r="F19" t="s">
        <v>40</v>
      </c>
    </row>
    <row r="20" spans="2:16" x14ac:dyDescent="0.25">
      <c r="B20">
        <v>13</v>
      </c>
      <c r="C20" s="1" t="s">
        <v>4</v>
      </c>
      <c r="D20" t="s">
        <v>20</v>
      </c>
      <c r="E20" s="2">
        <v>10000</v>
      </c>
      <c r="F20" t="s">
        <v>39</v>
      </c>
    </row>
    <row r="21" spans="2:16" x14ac:dyDescent="0.25">
      <c r="B21">
        <v>14</v>
      </c>
      <c r="C21" s="1" t="s">
        <v>11</v>
      </c>
      <c r="D21" t="s">
        <v>37</v>
      </c>
      <c r="E21" s="7">
        <v>1300</v>
      </c>
      <c r="F21" t="s">
        <v>57</v>
      </c>
    </row>
    <row r="22" spans="2:16" x14ac:dyDescent="0.25">
      <c r="B22">
        <v>14</v>
      </c>
      <c r="C22" s="1" t="s">
        <v>5</v>
      </c>
      <c r="D22" t="s">
        <v>52</v>
      </c>
      <c r="E22" s="7">
        <v>2000</v>
      </c>
      <c r="F22" t="s">
        <v>40</v>
      </c>
    </row>
    <row r="23" spans="2:16" x14ac:dyDescent="0.25">
      <c r="B23">
        <v>16</v>
      </c>
      <c r="C23" s="1" t="s">
        <v>5</v>
      </c>
      <c r="D23" t="s">
        <v>52</v>
      </c>
      <c r="E23" s="2">
        <v>2000</v>
      </c>
      <c r="F23" t="s">
        <v>40</v>
      </c>
    </row>
    <row r="24" spans="2:16" x14ac:dyDescent="0.25">
      <c r="B24">
        <v>17</v>
      </c>
      <c r="C24" s="1" t="s">
        <v>33</v>
      </c>
      <c r="D24" t="s">
        <v>16</v>
      </c>
      <c r="E24" s="2">
        <f>500+100+162</f>
        <v>762</v>
      </c>
      <c r="F24" t="s">
        <v>39</v>
      </c>
    </row>
    <row r="25" spans="2:16" x14ac:dyDescent="0.25">
      <c r="B25">
        <v>18</v>
      </c>
      <c r="C25" s="1" t="s">
        <v>0</v>
      </c>
      <c r="D25" t="s">
        <v>26</v>
      </c>
      <c r="E25" s="2">
        <v>400</v>
      </c>
      <c r="F25" t="s">
        <v>40</v>
      </c>
      <c r="P25" t="s">
        <v>35</v>
      </c>
    </row>
    <row r="26" spans="2:16" x14ac:dyDescent="0.25">
      <c r="B26">
        <v>18</v>
      </c>
      <c r="C26" s="1" t="s">
        <v>0</v>
      </c>
      <c r="D26" t="s">
        <v>25</v>
      </c>
      <c r="E26" s="2">
        <v>400</v>
      </c>
      <c r="F26" t="s">
        <v>40</v>
      </c>
    </row>
    <row r="27" spans="2:16" x14ac:dyDescent="0.25">
      <c r="B27">
        <v>18</v>
      </c>
      <c r="C27" s="1" t="s">
        <v>11</v>
      </c>
      <c r="D27" t="s">
        <v>62</v>
      </c>
      <c r="E27" s="2">
        <v>120</v>
      </c>
      <c r="F27" t="s">
        <v>40</v>
      </c>
    </row>
    <row r="28" spans="2:16" x14ac:dyDescent="0.25">
      <c r="B28">
        <v>19</v>
      </c>
      <c r="C28" s="1" t="s">
        <v>5</v>
      </c>
      <c r="D28" t="s">
        <v>63</v>
      </c>
      <c r="E28" s="2">
        <v>536</v>
      </c>
      <c r="F28" t="s">
        <v>40</v>
      </c>
    </row>
    <row r="29" spans="2:16" x14ac:dyDescent="0.25">
      <c r="B29">
        <v>19</v>
      </c>
      <c r="C29" s="1" t="s">
        <v>1</v>
      </c>
      <c r="D29" t="s">
        <v>29</v>
      </c>
      <c r="E29" s="2">
        <v>263</v>
      </c>
      <c r="F29" t="s">
        <v>39</v>
      </c>
    </row>
    <row r="30" spans="2:16" x14ac:dyDescent="0.25">
      <c r="B30">
        <v>22</v>
      </c>
      <c r="C30" s="1" t="s">
        <v>5</v>
      </c>
      <c r="D30" t="s">
        <v>52</v>
      </c>
      <c r="E30" s="2">
        <v>2000</v>
      </c>
      <c r="F30" t="s">
        <v>40</v>
      </c>
    </row>
    <row r="31" spans="2:16" x14ac:dyDescent="0.25">
      <c r="B31">
        <v>23</v>
      </c>
      <c r="C31" s="1" t="s">
        <v>5</v>
      </c>
      <c r="D31" t="s">
        <v>31</v>
      </c>
      <c r="E31" s="2">
        <v>66</v>
      </c>
      <c r="F31" t="s">
        <v>40</v>
      </c>
    </row>
    <row r="32" spans="2:16" x14ac:dyDescent="0.25">
      <c r="B32">
        <v>25</v>
      </c>
      <c r="C32" s="1" t="s">
        <v>0</v>
      </c>
      <c r="D32" t="s">
        <v>26</v>
      </c>
      <c r="E32" s="2">
        <v>536</v>
      </c>
      <c r="F32" t="s">
        <v>40</v>
      </c>
    </row>
    <row r="33" spans="2:6" x14ac:dyDescent="0.25">
      <c r="B33">
        <v>25</v>
      </c>
      <c r="C33" s="1" t="s">
        <v>0</v>
      </c>
      <c r="D33" t="s">
        <v>18</v>
      </c>
      <c r="E33" s="2">
        <f>249+250</f>
        <v>499</v>
      </c>
      <c r="F33" t="s">
        <v>40</v>
      </c>
    </row>
    <row r="34" spans="2:6" x14ac:dyDescent="0.25">
      <c r="B34">
        <v>25</v>
      </c>
      <c r="C34" s="1" t="s">
        <v>5</v>
      </c>
      <c r="D34" t="s">
        <v>14</v>
      </c>
      <c r="E34" s="2">
        <f>2000+63</f>
        <v>2063</v>
      </c>
      <c r="F34" t="s">
        <v>40</v>
      </c>
    </row>
    <row r="35" spans="2:6" x14ac:dyDescent="0.25">
      <c r="B35">
        <v>26</v>
      </c>
      <c r="C35" s="1" t="s">
        <v>0</v>
      </c>
      <c r="D35" t="s">
        <v>25</v>
      </c>
      <c r="E35" s="2">
        <v>500</v>
      </c>
      <c r="F35" t="s">
        <v>40</v>
      </c>
    </row>
    <row r="36" spans="2:6" x14ac:dyDescent="0.25">
      <c r="B36">
        <v>27</v>
      </c>
      <c r="C36" s="1" t="s">
        <v>1</v>
      </c>
      <c r="D36" t="s">
        <v>64</v>
      </c>
      <c r="E36" s="2">
        <v>227</v>
      </c>
      <c r="F36" t="s">
        <v>39</v>
      </c>
    </row>
    <row r="37" spans="2:6" x14ac:dyDescent="0.25">
      <c r="B37">
        <v>27</v>
      </c>
      <c r="C37" s="1" t="s">
        <v>10</v>
      </c>
      <c r="D37" t="s">
        <v>53</v>
      </c>
      <c r="E37" s="2">
        <v>2000</v>
      </c>
      <c r="F37" t="s">
        <v>39</v>
      </c>
    </row>
    <row r="38" spans="2:6" x14ac:dyDescent="0.25">
      <c r="B38">
        <v>28</v>
      </c>
      <c r="C38" s="1" t="s">
        <v>5</v>
      </c>
      <c r="D38" t="s">
        <v>31</v>
      </c>
      <c r="E38" s="2">
        <v>99</v>
      </c>
      <c r="F38" t="s">
        <v>40</v>
      </c>
    </row>
    <row r="39" spans="2:6" x14ac:dyDescent="0.25">
      <c r="B39">
        <v>29</v>
      </c>
      <c r="C39" s="1" t="s">
        <v>5</v>
      </c>
      <c r="D39" t="s">
        <v>14</v>
      </c>
      <c r="E39" s="2">
        <v>150</v>
      </c>
      <c r="F39" t="s">
        <v>40</v>
      </c>
    </row>
    <row r="40" spans="2:6" x14ac:dyDescent="0.25">
      <c r="B40">
        <v>29</v>
      </c>
      <c r="C40" s="1" t="s">
        <v>5</v>
      </c>
      <c r="D40" t="s">
        <v>47</v>
      </c>
      <c r="E40" s="2">
        <v>1000</v>
      </c>
      <c r="F40" t="s">
        <v>40</v>
      </c>
    </row>
    <row r="41" spans="2:6" x14ac:dyDescent="0.25">
      <c r="B41">
        <v>30</v>
      </c>
      <c r="C41" s="1" t="s">
        <v>5</v>
      </c>
      <c r="D41" t="s">
        <v>52</v>
      </c>
      <c r="E41" s="2">
        <v>1000</v>
      </c>
      <c r="F41" t="s">
        <v>40</v>
      </c>
    </row>
    <row r="42" spans="2:6" x14ac:dyDescent="0.25">
      <c r="B42">
        <v>30</v>
      </c>
      <c r="C42" s="1" t="s">
        <v>6</v>
      </c>
      <c r="D42" t="s">
        <v>21</v>
      </c>
      <c r="E42" s="2">
        <v>195</v>
      </c>
      <c r="F42" t="s">
        <v>40</v>
      </c>
    </row>
    <row r="43" spans="2:6" x14ac:dyDescent="0.25">
      <c r="B43">
        <v>31</v>
      </c>
      <c r="C43" s="1" t="s">
        <v>5</v>
      </c>
      <c r="D43" t="s">
        <v>14</v>
      </c>
      <c r="E43" s="2">
        <f>138+180</f>
        <v>318</v>
      </c>
      <c r="F43" t="s">
        <v>40</v>
      </c>
    </row>
    <row r="44" spans="2:6" x14ac:dyDescent="0.25">
      <c r="B44" s="10"/>
      <c r="C44" s="10"/>
      <c r="D44" s="10"/>
      <c r="E44" s="11"/>
      <c r="F44" s="10"/>
    </row>
    <row r="45" spans="2:6" x14ac:dyDescent="0.25">
      <c r="C45" s="1"/>
      <c r="E45" s="2"/>
    </row>
    <row r="46" spans="2:6" x14ac:dyDescent="0.25">
      <c r="C46" s="1"/>
      <c r="E46" s="2"/>
    </row>
    <row r="47" spans="2:6" x14ac:dyDescent="0.25">
      <c r="C47" s="1"/>
      <c r="E47" s="2"/>
    </row>
    <row r="48" spans="2:6" x14ac:dyDescent="0.25">
      <c r="C48" s="1"/>
      <c r="E48" s="2"/>
    </row>
    <row r="49" spans="3:5" x14ac:dyDescent="0.25">
      <c r="C49" s="1"/>
      <c r="E49" s="2"/>
    </row>
    <row r="50" spans="3:5" x14ac:dyDescent="0.25">
      <c r="C50" s="1"/>
      <c r="E50" s="2"/>
    </row>
    <row r="51" spans="3:5" x14ac:dyDescent="0.25">
      <c r="C51" s="1"/>
      <c r="E51" s="2"/>
    </row>
    <row r="52" spans="3:5" x14ac:dyDescent="0.25">
      <c r="C52" s="1"/>
      <c r="E52" s="2"/>
    </row>
    <row r="53" spans="3:5" x14ac:dyDescent="0.25">
      <c r="C53" s="1"/>
      <c r="E53" s="2"/>
    </row>
    <row r="54" spans="3:5" x14ac:dyDescent="0.25">
      <c r="C54" s="1"/>
      <c r="E54" s="2"/>
    </row>
    <row r="55" spans="3:5" x14ac:dyDescent="0.25">
      <c r="C55" s="1"/>
      <c r="E55" s="2"/>
    </row>
    <row r="56" spans="3:5" x14ac:dyDescent="0.25">
      <c r="C56" s="1"/>
      <c r="E56" s="2"/>
    </row>
    <row r="57" spans="3:5" x14ac:dyDescent="0.25">
      <c r="C57" s="1"/>
      <c r="E57" s="2"/>
    </row>
    <row r="58" spans="3:5" x14ac:dyDescent="0.25">
      <c r="C58" s="1"/>
      <c r="E58" s="2"/>
    </row>
    <row r="59" spans="3:5" x14ac:dyDescent="0.25">
      <c r="C59" s="1"/>
      <c r="E59" s="2"/>
    </row>
    <row r="60" spans="3:5" x14ac:dyDescent="0.25">
      <c r="C60" s="1"/>
      <c r="E60" s="2"/>
    </row>
    <row r="61" spans="3:5" x14ac:dyDescent="0.25">
      <c r="C61" s="1"/>
      <c r="E61" s="2"/>
    </row>
    <row r="62" spans="3:5" x14ac:dyDescent="0.25">
      <c r="C62" s="1"/>
      <c r="E62" s="2"/>
    </row>
    <row r="63" spans="3:5" x14ac:dyDescent="0.25">
      <c r="C63" s="1"/>
      <c r="E63" s="2"/>
    </row>
    <row r="64" spans="3:5" x14ac:dyDescent="0.25">
      <c r="C64" s="1"/>
      <c r="E64" s="2"/>
    </row>
    <row r="65" spans="3:5" x14ac:dyDescent="0.25">
      <c r="C65" s="1"/>
      <c r="E65" s="2"/>
    </row>
    <row r="66" spans="3:5" x14ac:dyDescent="0.25">
      <c r="C66" s="1"/>
      <c r="E66" s="2"/>
    </row>
    <row r="67" spans="3:5" x14ac:dyDescent="0.25">
      <c r="C67" s="1"/>
      <c r="E67" s="2"/>
    </row>
    <row r="68" spans="3:5" x14ac:dyDescent="0.25">
      <c r="C68" s="1"/>
      <c r="E68" s="2"/>
    </row>
    <row r="69" spans="3:5" x14ac:dyDescent="0.25">
      <c r="C69" s="1"/>
      <c r="E69" s="2"/>
    </row>
    <row r="70" spans="3:5" x14ac:dyDescent="0.25">
      <c r="C70" s="1"/>
      <c r="E70" s="2"/>
    </row>
    <row r="71" spans="3:5" x14ac:dyDescent="0.25">
      <c r="C71" s="1"/>
      <c r="E71" s="2"/>
    </row>
    <row r="72" spans="3:5" x14ac:dyDescent="0.25">
      <c r="C72" s="1"/>
      <c r="E72" s="2"/>
    </row>
    <row r="73" spans="3:5" x14ac:dyDescent="0.25">
      <c r="C73" s="1"/>
      <c r="E73" s="2"/>
    </row>
    <row r="74" spans="3:5" x14ac:dyDescent="0.25">
      <c r="C74" s="1"/>
      <c r="E74" s="2"/>
    </row>
    <row r="75" spans="3:5" x14ac:dyDescent="0.25">
      <c r="C75" s="1"/>
      <c r="E75" s="2"/>
    </row>
    <row r="76" spans="3:5" x14ac:dyDescent="0.25">
      <c r="C76" s="1"/>
      <c r="E76" s="2"/>
    </row>
    <row r="77" spans="3:5" x14ac:dyDescent="0.25">
      <c r="C77" s="1"/>
      <c r="E77" s="2"/>
    </row>
    <row r="78" spans="3:5" x14ac:dyDescent="0.25">
      <c r="C78" s="1"/>
      <c r="E78" s="2"/>
    </row>
    <row r="79" spans="3:5" x14ac:dyDescent="0.25">
      <c r="C79" s="1"/>
      <c r="E79" s="2"/>
    </row>
    <row r="80" spans="3:5" x14ac:dyDescent="0.25">
      <c r="C80" s="1"/>
      <c r="E80" s="2"/>
    </row>
    <row r="81" spans="3:5" x14ac:dyDescent="0.25">
      <c r="C81" s="1"/>
      <c r="E81" s="2"/>
    </row>
    <row r="82" spans="3:5" x14ac:dyDescent="0.25">
      <c r="C82" s="1"/>
      <c r="E82" s="2"/>
    </row>
    <row r="83" spans="3:5" x14ac:dyDescent="0.25">
      <c r="E83" s="2"/>
    </row>
    <row r="84" spans="3:5" x14ac:dyDescent="0.25">
      <c r="C84" s="1"/>
      <c r="E84" s="2"/>
    </row>
    <row r="85" spans="3:5" x14ac:dyDescent="0.25">
      <c r="C85" s="1"/>
      <c r="E85" s="2"/>
    </row>
    <row r="86" spans="3:5" x14ac:dyDescent="0.25">
      <c r="C86" s="1"/>
      <c r="E86" s="2"/>
    </row>
    <row r="87" spans="3:5" x14ac:dyDescent="0.25">
      <c r="C87" s="1"/>
      <c r="E87" s="2"/>
    </row>
    <row r="88" spans="3:5" x14ac:dyDescent="0.25">
      <c r="C88" s="1"/>
      <c r="E88" s="2"/>
    </row>
    <row r="89" spans="3:5" x14ac:dyDescent="0.25">
      <c r="C89" s="1"/>
      <c r="E89" s="2"/>
    </row>
    <row r="90" spans="3:5" x14ac:dyDescent="0.25">
      <c r="C90" s="1"/>
      <c r="E90" s="2"/>
    </row>
    <row r="91" spans="3:5" x14ac:dyDescent="0.25">
      <c r="C91" s="1"/>
      <c r="E91" s="2"/>
    </row>
    <row r="92" spans="3:5" x14ac:dyDescent="0.25">
      <c r="C92" s="1"/>
      <c r="E92" s="2"/>
    </row>
    <row r="93" spans="3:5" x14ac:dyDescent="0.25">
      <c r="C93" s="1"/>
      <c r="E93" s="2"/>
    </row>
    <row r="94" spans="3:5" x14ac:dyDescent="0.25">
      <c r="C94" s="1"/>
      <c r="E94" s="2"/>
    </row>
    <row r="95" spans="3:5" x14ac:dyDescent="0.25">
      <c r="C95" s="1"/>
      <c r="E95" s="2"/>
    </row>
    <row r="96" spans="3:5" x14ac:dyDescent="0.25">
      <c r="C96" s="1"/>
      <c r="E96" s="9"/>
    </row>
    <row r="97" spans="3:5" x14ac:dyDescent="0.25">
      <c r="E97" s="2"/>
    </row>
    <row r="98" spans="3:5" x14ac:dyDescent="0.25">
      <c r="C98" s="1"/>
      <c r="E98" s="2"/>
    </row>
    <row r="99" spans="3:5" x14ac:dyDescent="0.25">
      <c r="C99" s="1"/>
      <c r="E99" s="2"/>
    </row>
    <row r="100" spans="3:5" x14ac:dyDescent="0.25">
      <c r="C100" s="1"/>
      <c r="E100" s="2"/>
    </row>
    <row r="101" spans="3:5" x14ac:dyDescent="0.25">
      <c r="C101" s="1"/>
      <c r="E101" s="2"/>
    </row>
    <row r="102" spans="3:5" x14ac:dyDescent="0.25">
      <c r="C102" s="1"/>
      <c r="E102" s="2"/>
    </row>
    <row r="103" spans="3:5" x14ac:dyDescent="0.25">
      <c r="C103" s="1"/>
      <c r="E103" s="2"/>
    </row>
    <row r="104" spans="3:5" x14ac:dyDescent="0.25">
      <c r="C104" s="1"/>
      <c r="E104" s="2"/>
    </row>
    <row r="105" spans="3:5" x14ac:dyDescent="0.25">
      <c r="C105" s="1"/>
      <c r="E105" s="2"/>
    </row>
    <row r="106" spans="3:5" x14ac:dyDescent="0.25">
      <c r="C106" s="1"/>
      <c r="E106" s="2"/>
    </row>
    <row r="107" spans="3:5" x14ac:dyDescent="0.25">
      <c r="C107" s="1"/>
      <c r="E107" s="2"/>
    </row>
    <row r="108" spans="3:5" x14ac:dyDescent="0.25">
      <c r="C108" s="1"/>
      <c r="E108" s="2"/>
    </row>
    <row r="109" spans="3:5" x14ac:dyDescent="0.25">
      <c r="C109" s="1"/>
      <c r="E109" s="2"/>
    </row>
    <row r="110" spans="3:5" x14ac:dyDescent="0.25">
      <c r="C110" s="1"/>
      <c r="E110" s="2"/>
    </row>
    <row r="111" spans="3:5" x14ac:dyDescent="0.25">
      <c r="C111" s="1"/>
      <c r="E111" s="2"/>
    </row>
    <row r="112" spans="3:5" x14ac:dyDescent="0.25">
      <c r="C112" s="1"/>
      <c r="E112" s="2"/>
    </row>
    <row r="113" spans="3:5" x14ac:dyDescent="0.25">
      <c r="C113" s="1"/>
      <c r="E113" s="3"/>
    </row>
    <row r="114" spans="3:5" x14ac:dyDescent="0.25">
      <c r="C114" s="1"/>
      <c r="E114" s="2"/>
    </row>
    <row r="115" spans="3:5" x14ac:dyDescent="0.25">
      <c r="C115" s="1"/>
      <c r="E115" s="2"/>
    </row>
    <row r="116" spans="3:5" x14ac:dyDescent="0.25">
      <c r="C116" s="1"/>
      <c r="E116" s="2"/>
    </row>
    <row r="117" spans="3:5" x14ac:dyDescent="0.25">
      <c r="C117" s="1"/>
      <c r="E117" s="2"/>
    </row>
    <row r="118" spans="3:5" x14ac:dyDescent="0.25">
      <c r="C118" s="1"/>
      <c r="E118" s="2"/>
    </row>
    <row r="119" spans="3:5" x14ac:dyDescent="0.25">
      <c r="C119" s="1"/>
      <c r="E119" s="2"/>
    </row>
    <row r="120" spans="3:5" x14ac:dyDescent="0.25">
      <c r="C120" s="1"/>
      <c r="E120" s="2"/>
    </row>
    <row r="121" spans="3:5" x14ac:dyDescent="0.25">
      <c r="C121" s="1"/>
      <c r="E121" s="2"/>
    </row>
    <row r="122" spans="3:5" x14ac:dyDescent="0.25">
      <c r="C122" s="1"/>
      <c r="E122" s="2"/>
    </row>
    <row r="123" spans="3:5" x14ac:dyDescent="0.25">
      <c r="C123" s="1"/>
      <c r="E123" s="2"/>
    </row>
    <row r="124" spans="3:5" x14ac:dyDescent="0.25">
      <c r="C124" s="1"/>
      <c r="E124" s="2"/>
    </row>
    <row r="125" spans="3:5" x14ac:dyDescent="0.25">
      <c r="C125" s="1"/>
      <c r="E125" s="2"/>
    </row>
    <row r="126" spans="3:5" x14ac:dyDescent="0.25">
      <c r="C126" s="1"/>
      <c r="E126" s="2"/>
    </row>
    <row r="127" spans="3:5" x14ac:dyDescent="0.25">
      <c r="C127" s="1"/>
      <c r="E127" s="2"/>
    </row>
    <row r="128" spans="3:5" x14ac:dyDescent="0.25">
      <c r="C128" s="1"/>
      <c r="D128" s="5" t="s">
        <v>41</v>
      </c>
      <c r="E128" s="6">
        <f>SUMIF(F:F, "Личный", E:E)</f>
        <v>17251</v>
      </c>
    </row>
    <row r="129" spans="3:10" x14ac:dyDescent="0.25">
      <c r="C129" s="1"/>
      <c r="D129" s="5" t="s">
        <v>42</v>
      </c>
      <c r="E129" s="6">
        <f>SUMIF(F:F, "Семейный", E:E)</f>
        <v>58645</v>
      </c>
    </row>
    <row r="130" spans="3:10" x14ac:dyDescent="0.25">
      <c r="C130" s="1"/>
      <c r="D130" s="5" t="s">
        <v>57</v>
      </c>
      <c r="E130" s="6">
        <f>SUMIF(F:F, "Жена", E:E)</f>
        <v>24300</v>
      </c>
    </row>
    <row r="131" spans="3:10" x14ac:dyDescent="0.25">
      <c r="C131" s="1"/>
      <c r="D131" s="5" t="s">
        <v>43</v>
      </c>
      <c r="E131" s="4">
        <f>SUM(E2:E127)</f>
        <v>100196</v>
      </c>
    </row>
    <row r="132" spans="3:10" x14ac:dyDescent="0.25">
      <c r="C132" s="1"/>
      <c r="D132" s="5" t="s">
        <v>24</v>
      </c>
      <c r="E132" s="6">
        <v>150000</v>
      </c>
      <c r="F132" t="s">
        <v>32</v>
      </c>
      <c r="J132" t="s">
        <v>51</v>
      </c>
    </row>
    <row r="133" spans="3:10" x14ac:dyDescent="0.25">
      <c r="D133" s="5" t="s">
        <v>17</v>
      </c>
      <c r="E133" s="8">
        <f>E132-E131</f>
        <v>49804</v>
      </c>
    </row>
  </sheetData>
  <autoFilter ref="B1:F60" xr:uid="{DF7969D6-5224-4570-B035-6CD615285867}"/>
  <dataConsolidate topLabels="1">
    <dataRefs count="1">
      <dataRef ref="C1:E88" sheet="Март 2024 "/>
    </dataRefs>
  </dataConsolidate>
  <dataValidations count="1">
    <dataValidation type="list" allowBlank="1" showInputMessage="1" showErrorMessage="1" sqref="C98:C132 C84:C96 C45:C82 C2:C18 C20:C43" xr:uid="{A9F2A3D4-C152-4F27-9FDE-3F1542D0EA8E}">
      <formula1>TypeTrat</formula1>
    </dataValidation>
  </dataValidations>
  <pageMargins left="0.7" right="0.7" top="0.75" bottom="0.75" header="0.3" footer="0.3"/>
  <pageSetup paperSize="9"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C0BB8E-37C9-46AF-A608-5FD18EECB6F8}">
          <x14:formula1>
            <xm:f>'Виды трат'!$B$1:$B$2</xm:f>
          </x14:formula1>
          <xm:sqref>F128:F129</xm:sqref>
        </x14:dataValidation>
        <x14:dataValidation type="list" allowBlank="1" showInputMessage="1" showErrorMessage="1" xr:uid="{6A01C12E-0479-41D1-B4B8-6EDA35C633C4}">
          <x14:formula1>
            <xm:f>'Виды трат'!$B$1:$B$3</xm:f>
          </x14:formula1>
          <xm:sqref>F2:F127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E821-1377-4F4A-8596-5046707B5196}">
  <sheetPr codeName="Лист8"/>
  <dimension ref="A1:B14"/>
  <sheetViews>
    <sheetView workbookViewId="0">
      <selection activeCell="D6" sqref="D6"/>
    </sheetView>
  </sheetViews>
  <sheetFormatPr defaultRowHeight="15" x14ac:dyDescent="0.25"/>
  <cols>
    <col min="1" max="1" width="15.28515625" customWidth="1"/>
    <col min="2" max="2" width="11.42578125" customWidth="1"/>
  </cols>
  <sheetData>
    <row r="1" spans="1:2" x14ac:dyDescent="0.25">
      <c r="A1" t="s">
        <v>0</v>
      </c>
      <c r="B1" t="s">
        <v>39</v>
      </c>
    </row>
    <row r="2" spans="1:2" x14ac:dyDescent="0.25">
      <c r="A2" t="s">
        <v>4</v>
      </c>
      <c r="B2" t="s">
        <v>40</v>
      </c>
    </row>
    <row r="3" spans="1:2" x14ac:dyDescent="0.25">
      <c r="A3" t="s">
        <v>5</v>
      </c>
      <c r="B3" t="s">
        <v>57</v>
      </c>
    </row>
    <row r="4" spans="1:2" x14ac:dyDescent="0.25">
      <c r="A4" t="s">
        <v>2</v>
      </c>
    </row>
    <row r="5" spans="1:2" x14ac:dyDescent="0.25">
      <c r="A5" t="s">
        <v>0</v>
      </c>
    </row>
    <row r="6" spans="1:2" x14ac:dyDescent="0.25">
      <c r="A6" t="s">
        <v>1</v>
      </c>
    </row>
    <row r="7" spans="1:2" x14ac:dyDescent="0.25">
      <c r="A7" t="s">
        <v>6</v>
      </c>
    </row>
    <row r="8" spans="1:2" x14ac:dyDescent="0.25">
      <c r="A8" t="s">
        <v>10</v>
      </c>
    </row>
    <row r="9" spans="1:2" x14ac:dyDescent="0.25">
      <c r="A9" t="s">
        <v>12</v>
      </c>
    </row>
    <row r="10" spans="1:2" x14ac:dyDescent="0.25">
      <c r="A10" t="s">
        <v>13</v>
      </c>
    </row>
    <row r="11" spans="1:2" x14ac:dyDescent="0.25">
      <c r="A11" t="s">
        <v>22</v>
      </c>
    </row>
    <row r="12" spans="1:2" x14ac:dyDescent="0.25">
      <c r="A12" t="s">
        <v>27</v>
      </c>
    </row>
    <row r="13" spans="1:2" x14ac:dyDescent="0.25">
      <c r="A13" t="s">
        <v>33</v>
      </c>
    </row>
    <row r="14" spans="1:2" x14ac:dyDescent="0.25">
      <c r="A14" t="s">
        <v>11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0179A3-FBAF-42D0-A012-CCE3FFFD3B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Август 2026</vt:lpstr>
      <vt:lpstr>Июль 2026</vt:lpstr>
      <vt:lpstr>Виды трат</vt:lpstr>
      <vt:lpstr>TypeTrat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Перевозчиков</dc:creator>
  <cp:lastModifiedBy>Даниил Перевозчиков</cp:lastModifiedBy>
  <dcterms:created xsi:type="dcterms:W3CDTF">2015-06-05T18:19:34Z</dcterms:created>
  <dcterms:modified xsi:type="dcterms:W3CDTF">2026-08-22T04:22:44Z</dcterms:modified>
</cp:coreProperties>
</file>